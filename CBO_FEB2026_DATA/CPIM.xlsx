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foundation-my.sharepoint.com/personal/ashilov_taxfoundation_org/Documents/Desktop/CBO_FEB2026_DATA/"/>
    </mc:Choice>
  </mc:AlternateContent>
  <xr:revisionPtr revIDLastSave="13" documentId="11_B2E2C15CED6AF02E0557FCDC8CFA0A1370303084" xr6:coauthVersionLast="47" xr6:coauthVersionMax="47" xr10:uidLastSave="{1C174123-E37F-4442-821F-5558A5883B7E}"/>
  <bookViews>
    <workbookView xWindow="-96" yWindow="-96" windowWidth="23232" windowHeight="12432" xr2:uid="{00000000-000D-0000-FFFF-FFFF00000000}"/>
  </bookViews>
  <sheets>
    <sheet name="BLS Data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1" l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0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<sst xmlns="http://schemas.openxmlformats.org/spreadsheetml/2006/main" count="35" uniqueCount="35">
  <si>
    <t>Consumer Price Index for All Urban Consumers (CPI-U)</t>
  </si>
  <si>
    <t>Original Data Value</t>
  </si>
  <si>
    <t>Series Id:</t>
  </si>
  <si>
    <t>CUSR0000SAM</t>
  </si>
  <si>
    <t>Seasonally Adjusted</t>
  </si>
  <si>
    <t>Series Title:</t>
  </si>
  <si>
    <t>Medical care in U.S. city average, all urban consumers, seasonally adjusted</t>
  </si>
  <si>
    <t>Area:</t>
  </si>
  <si>
    <t>U.S. city average</t>
  </si>
  <si>
    <t>Item:</t>
  </si>
  <si>
    <t>Medical care</t>
  </si>
  <si>
    <t>Base Period:</t>
  </si>
  <si>
    <t>1982-84=100</t>
  </si>
  <si>
    <t>Years:</t>
  </si>
  <si>
    <t>2008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</si>
  <si>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</si>
  <si>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</si>
  <si>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</si>
  <si>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</si>
  <si>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</si>
  <si>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</si>
  <si>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</si>
  <si>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</si>
  <si>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</si>
  <si>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</si>
  <si>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</si>
  <si>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</si>
  <si>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</si>
  <si>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</si>
  <si>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</si>
  <si>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</si>
  <si>
    <t>AVG</t>
  </si>
  <si>
    <t>AVG CPIU</t>
  </si>
  <si>
    <t>Difference</t>
  </si>
  <si>
    <t>AVG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</si>
</sst>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0.00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70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3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502920</xdr:colOff>
      <xdr:row>20</xdr:row>
      <xdr:rowOff>129540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C37D43AA-5043-ADF0-5779-6C7BD2A4B99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pane ySplit="12" topLeftCell="A13" activePane="bottomLeft" state="frozen"/>
      <selection pane="bottomLeft" activeCell="S13" sqref="S13"/>
    </sheetView>
  </sheetViews>
  <sheetFormatPr defaultRowHeight="14.4" x14ac:dyDescent="0.55000000000000004"/>
  <cols>
    <col min="1" max="1" width="20" customWidth="1"/>
    <col min="2" max="2" width="8" customWidth="1"/>
    <col min="18" max="18" width="9.7890625" customWidth="1"/>
    <col min="19" max="19" width="12.3125" customWidth="1"/>
  </cols>
  <sheetData>
    <row r="1" spans="1:19" ht="15.3" x14ac:dyDescent="0.55000000000000004">
      <c r="A1" s="5" t="s">
        <v>0</v>
      </c>
      <c r="B1" s="6"/>
      <c r="C1" s="6"/>
      <c r="D1" s="6"/>
      <c r="E1" s="6"/>
      <c r="F1" s="6"/>
    </row>
    <row r="2" spans="1:19" ht="15.3" x14ac:dyDescent="0.55000000000000004">
      <c r="A2" s="5" t="s">
        <v>1</v>
      </c>
      <c r="B2" s="6"/>
      <c r="C2" s="6"/>
      <c r="D2" s="6"/>
      <c r="E2" s="6"/>
      <c r="F2" s="6"/>
    </row>
    <row r="3" spans="1:19" x14ac:dyDescent="0.55000000000000004">
      <c r="A3" s="6"/>
      <c r="B3" s="6"/>
      <c r="C3" s="6"/>
      <c r="D3" s="6"/>
      <c r="E3" s="6"/>
      <c r="F3" s="6"/>
    </row>
    <row r="4" spans="1:19" x14ac:dyDescent="0.55000000000000004">
      <c r="A4" s="4" t="s">
        <v>2</v>
      </c>
      <c r="B4" s="7" t="s">
        <v>3</v>
      </c>
      <c r="C4" s="6"/>
      <c r="D4" s="6"/>
      <c r="E4" s="6"/>
      <c r="F4" s="6"/>
    </row>
    <row r="5" spans="1:19" x14ac:dyDescent="0.55000000000000004">
      <c r="A5" s="8" t="s">
        <v>4</v>
      </c>
      <c r="B5" s="6"/>
      <c r="C5" s="6"/>
      <c r="D5" s="6"/>
      <c r="E5" s="6"/>
      <c r="F5" s="6"/>
    </row>
    <row r="6" spans="1:19" x14ac:dyDescent="0.55000000000000004">
      <c r="A6" s="4" t="s">
        <v>5</v>
      </c>
      <c r="B6" s="7" t="s">
        <v>6</v>
      </c>
      <c r="C6" s="6"/>
      <c r="D6" s="6"/>
      <c r="E6" s="6"/>
      <c r="F6" s="6"/>
    </row>
    <row r="7" spans="1:19" x14ac:dyDescent="0.55000000000000004">
      <c r="A7" s="4" t="s">
        <v>7</v>
      </c>
      <c r="B7" s="7" t="s">
        <v>8</v>
      </c>
      <c r="C7" s="6"/>
      <c r="D7" s="6"/>
      <c r="E7" s="6"/>
      <c r="F7" s="6"/>
    </row>
    <row r="8" spans="1:19" x14ac:dyDescent="0.55000000000000004">
      <c r="A8" s="4" t="s">
        <v>9</v>
      </c>
      <c r="B8" s="7" t="s">
        <v>10</v>
      </c>
      <c r="C8" s="6"/>
      <c r="D8" s="6"/>
      <c r="E8" s="6"/>
      <c r="F8" s="6"/>
    </row>
    <row r="9" spans="1:19" x14ac:dyDescent="0.55000000000000004">
      <c r="A9" s="4" t="s">
        <v>11</v>
      </c>
      <c r="B9" s="7" t="s">
        <v>12</v>
      </c>
      <c r="C9" s="6"/>
      <c r="D9" s="6"/>
      <c r="E9" s="6"/>
      <c r="F9" s="6"/>
    </row>
    <row r="10" spans="1:19" x14ac:dyDescent="0.55000000000000004">
      <c r="A10" s="4" t="s">
        <v>13</v>
      </c>
      <c r="B10" s="9" t="s">
        <v>14</v>
      </c>
      <c r="C10" s="6"/>
      <c r="D10" s="6"/>
      <c r="E10" s="6"/>
      <c r="F10" s="6"/>
    </row>
    <row r="12" spans="1:19" ht="37.799999999999997" x14ac:dyDescent="0.55000000000000004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  <c r="P12" s="10" t="s">
        <v>31</v>
      </c>
      <c r="Q12" s="10" t="s">
        <v>32</v>
      </c>
      <c r="R12" s="10" t="s">
        <v>33</v>
      </c>
      <c r="S12" s="10" t="s">
        <v>34</v>
      </c>
    </row>
    <row r="13" spans="1:19" x14ac:dyDescent="0.55000000000000004">
      <c r="A13" s="2">
        <v>2008</v>
      </c>
      <c r="B13" s="3">
        <v>360.46300000000002</v>
      </c>
      <c r="C13" s="3">
        <v>360.75</v>
      </c>
      <c r="D13" s="3">
        <v>361.53300000000002</v>
      </c>
      <c r="E13" s="3">
        <v>362.072</v>
      </c>
      <c r="F13" s="3">
        <v>362.65800000000002</v>
      </c>
      <c r="G13" s="3">
        <v>363.67099999999999</v>
      </c>
      <c r="H13" s="3">
        <v>364.15600000000001</v>
      </c>
      <c r="I13" s="3">
        <v>364.97699999999998</v>
      </c>
      <c r="J13" s="3">
        <v>365.84100000000001</v>
      </c>
      <c r="K13" s="3">
        <v>366.53</v>
      </c>
      <c r="L13" s="3">
        <v>367.459</v>
      </c>
      <c r="M13" s="3">
        <v>368.74799999999999</v>
      </c>
      <c r="P13">
        <f>(AVERAGE(B13:M13))</f>
        <v>364.07149999999996</v>
      </c>
      <c r="Q13">
        <v>215.30250000000001</v>
      </c>
      <c r="R13">
        <f>P13-Q13</f>
        <v>148.76899999999995</v>
      </c>
      <c r="S13">
        <f>AVERAGE(R13:R30)</f>
        <v>216.24876809764308</v>
      </c>
    </row>
    <row r="14" spans="1:19" x14ac:dyDescent="0.55000000000000004">
      <c r="A14" s="2">
        <v>2009</v>
      </c>
      <c r="B14" s="3">
        <v>369.82400000000001</v>
      </c>
      <c r="C14" s="3">
        <v>370.85300000000001</v>
      </c>
      <c r="D14" s="3">
        <v>371.70499999999998</v>
      </c>
      <c r="E14" s="3">
        <v>373.077</v>
      </c>
      <c r="F14" s="3">
        <v>374.35899999999998</v>
      </c>
      <c r="G14" s="3">
        <v>375.17700000000002</v>
      </c>
      <c r="H14" s="3">
        <v>376.00099999999998</v>
      </c>
      <c r="I14" s="3">
        <v>377.09100000000001</v>
      </c>
      <c r="J14" s="3">
        <v>378.35899999999998</v>
      </c>
      <c r="K14" s="3">
        <v>379.291</v>
      </c>
      <c r="L14" s="3">
        <v>380.45</v>
      </c>
      <c r="M14" s="3">
        <v>381.11099999999999</v>
      </c>
      <c r="P14">
        <f t="shared" ref="P14:P30" si="0">(AVERAGE(B14:M14))</f>
        <v>375.60816666666665</v>
      </c>
      <c r="Q14">
        <v>214.53700000000001</v>
      </c>
      <c r="R14">
        <f t="shared" ref="R14:R30" si="1">P14-Q14</f>
        <v>161.07116666666664</v>
      </c>
    </row>
    <row r="15" spans="1:19" x14ac:dyDescent="0.55000000000000004">
      <c r="A15" s="2">
        <v>2010</v>
      </c>
      <c r="B15" s="3">
        <v>382.74200000000002</v>
      </c>
      <c r="C15" s="3">
        <v>384.30799999999999</v>
      </c>
      <c r="D15" s="3">
        <v>385.71199999999999</v>
      </c>
      <c r="E15" s="3">
        <v>386.589</v>
      </c>
      <c r="F15" s="3">
        <v>387.09399999999999</v>
      </c>
      <c r="G15" s="3">
        <v>388.18799999999999</v>
      </c>
      <c r="H15" s="3">
        <v>388.12299999999999</v>
      </c>
      <c r="I15" s="3">
        <v>389.05900000000003</v>
      </c>
      <c r="J15" s="3">
        <v>391.28800000000001</v>
      </c>
      <c r="K15" s="3">
        <v>391.92599999999999</v>
      </c>
      <c r="L15" s="3">
        <v>392.53500000000003</v>
      </c>
      <c r="M15" s="3">
        <v>393.51400000000001</v>
      </c>
      <c r="P15">
        <f t="shared" si="0"/>
        <v>388.4231666666667</v>
      </c>
      <c r="Q15">
        <v>218.05550000000002</v>
      </c>
      <c r="R15">
        <f t="shared" si="1"/>
        <v>170.36766666666668</v>
      </c>
    </row>
    <row r="16" spans="1:19" x14ac:dyDescent="0.55000000000000004">
      <c r="A16" s="2">
        <v>2011</v>
      </c>
      <c r="B16" s="3">
        <v>394.072</v>
      </c>
      <c r="C16" s="3">
        <v>395.51799999999997</v>
      </c>
      <c r="D16" s="3">
        <v>396.29</v>
      </c>
      <c r="E16" s="3">
        <v>397.70100000000002</v>
      </c>
      <c r="F16" s="3">
        <v>398.721</v>
      </c>
      <c r="G16" s="3">
        <v>399.416</v>
      </c>
      <c r="H16" s="3">
        <v>400.53899999999999</v>
      </c>
      <c r="I16" s="3">
        <v>401.387</v>
      </c>
      <c r="J16" s="3">
        <v>402.202</v>
      </c>
      <c r="K16" s="3">
        <v>404.06799999999998</v>
      </c>
      <c r="L16" s="3">
        <v>405.75099999999998</v>
      </c>
      <c r="M16" s="3">
        <v>407.23</v>
      </c>
      <c r="P16">
        <f t="shared" si="0"/>
        <v>400.24125000000004</v>
      </c>
      <c r="Q16">
        <v>224.93916666666667</v>
      </c>
      <c r="R16">
        <f t="shared" si="1"/>
        <v>175.30208333333337</v>
      </c>
    </row>
    <row r="17" spans="1:18" x14ac:dyDescent="0.55000000000000004">
      <c r="A17" s="2">
        <v>2012</v>
      </c>
      <c r="B17" s="3">
        <v>408.39400000000001</v>
      </c>
      <c r="C17" s="3">
        <v>408.89</v>
      </c>
      <c r="D17" s="3">
        <v>410.25700000000001</v>
      </c>
      <c r="E17" s="3">
        <v>411.47500000000002</v>
      </c>
      <c r="F17" s="3">
        <v>412.86399999999998</v>
      </c>
      <c r="G17" s="3">
        <v>415.28899999999999</v>
      </c>
      <c r="H17" s="3">
        <v>417.00400000000002</v>
      </c>
      <c r="I17" s="3">
        <v>417.55500000000001</v>
      </c>
      <c r="J17" s="3">
        <v>418.45299999999997</v>
      </c>
      <c r="K17" s="3">
        <v>419.07</v>
      </c>
      <c r="L17" s="3">
        <v>419.50900000000001</v>
      </c>
      <c r="M17" s="3">
        <v>420.32100000000003</v>
      </c>
      <c r="P17">
        <f t="shared" si="0"/>
        <v>414.92341666666658</v>
      </c>
      <c r="Q17">
        <v>229.5939166666667</v>
      </c>
      <c r="R17">
        <f t="shared" si="1"/>
        <v>185.32949999999988</v>
      </c>
    </row>
    <row r="18" spans="1:18" x14ac:dyDescent="0.55000000000000004">
      <c r="A18" s="2">
        <v>2013</v>
      </c>
      <c r="B18" s="3">
        <v>421.11399999999998</v>
      </c>
      <c r="C18" s="3">
        <v>421.601</v>
      </c>
      <c r="D18" s="3">
        <v>423.089</v>
      </c>
      <c r="E18" s="3">
        <v>423.02499999999998</v>
      </c>
      <c r="F18" s="3">
        <v>422.31599999999997</v>
      </c>
      <c r="G18" s="3">
        <v>424.286</v>
      </c>
      <c r="H18" s="3">
        <v>425.00799999999998</v>
      </c>
      <c r="I18" s="3">
        <v>427.16800000000001</v>
      </c>
      <c r="J18" s="3">
        <v>428.29</v>
      </c>
      <c r="K18" s="3">
        <v>428.58600000000001</v>
      </c>
      <c r="L18" s="3">
        <v>428.48500000000001</v>
      </c>
      <c r="M18" s="3">
        <v>428.62200000000001</v>
      </c>
      <c r="P18">
        <f t="shared" si="0"/>
        <v>425.13249999999994</v>
      </c>
      <c r="Q18">
        <v>232.95708333333332</v>
      </c>
      <c r="R18">
        <f t="shared" si="1"/>
        <v>192.17541666666662</v>
      </c>
    </row>
    <row r="19" spans="1:18" x14ac:dyDescent="0.55000000000000004">
      <c r="A19" s="2">
        <v>2014</v>
      </c>
      <c r="B19" s="3">
        <v>429.98899999999998</v>
      </c>
      <c r="C19" s="3">
        <v>431.137</v>
      </c>
      <c r="D19" s="3">
        <v>432.21100000000001</v>
      </c>
      <c r="E19" s="3">
        <v>433.26</v>
      </c>
      <c r="F19" s="3">
        <v>434.262</v>
      </c>
      <c r="G19" s="3">
        <v>435.18700000000001</v>
      </c>
      <c r="H19" s="3">
        <v>435.86399999999998</v>
      </c>
      <c r="I19" s="3">
        <v>436.041</v>
      </c>
      <c r="J19" s="3">
        <v>437.09100000000001</v>
      </c>
      <c r="K19" s="3">
        <v>437.75799999999998</v>
      </c>
      <c r="L19" s="3">
        <v>439.40800000000002</v>
      </c>
      <c r="M19" s="3">
        <v>441.464</v>
      </c>
      <c r="P19">
        <f t="shared" si="0"/>
        <v>435.30600000000004</v>
      </c>
      <c r="Q19">
        <v>236.73616666666666</v>
      </c>
      <c r="R19">
        <f t="shared" si="1"/>
        <v>198.56983333333338</v>
      </c>
    </row>
    <row r="20" spans="1:18" x14ac:dyDescent="0.55000000000000004">
      <c r="A20" s="2">
        <v>2015</v>
      </c>
      <c r="B20" s="3">
        <v>441.351</v>
      </c>
      <c r="C20" s="3">
        <v>441.101</v>
      </c>
      <c r="D20" s="3">
        <v>442.94299999999998</v>
      </c>
      <c r="E20" s="3">
        <v>445.822</v>
      </c>
      <c r="F20" s="3">
        <v>446.74299999999999</v>
      </c>
      <c r="G20" s="3">
        <v>446.33</v>
      </c>
      <c r="H20" s="3">
        <v>446.95299999999997</v>
      </c>
      <c r="I20" s="3">
        <v>446.61200000000002</v>
      </c>
      <c r="J20" s="3">
        <v>447.64800000000002</v>
      </c>
      <c r="K20" s="3">
        <v>450.68099999999998</v>
      </c>
      <c r="L20" s="3">
        <v>452.22500000000002</v>
      </c>
      <c r="M20" s="3">
        <v>452.73200000000003</v>
      </c>
      <c r="P20">
        <f t="shared" si="0"/>
        <v>446.76175000000006</v>
      </c>
      <c r="Q20">
        <v>237.01700000000002</v>
      </c>
      <c r="R20">
        <f t="shared" si="1"/>
        <v>209.74475000000004</v>
      </c>
    </row>
    <row r="21" spans="1:18" x14ac:dyDescent="0.55000000000000004">
      <c r="A21" s="2">
        <v>2016</v>
      </c>
      <c r="B21" s="3">
        <v>454.19400000000002</v>
      </c>
      <c r="C21" s="3">
        <v>456.92200000000003</v>
      </c>
      <c r="D21" s="3">
        <v>457.72300000000001</v>
      </c>
      <c r="E21" s="3">
        <v>459.245</v>
      </c>
      <c r="F21" s="3">
        <v>460.48700000000002</v>
      </c>
      <c r="G21" s="3">
        <v>462.09</v>
      </c>
      <c r="H21" s="3">
        <v>464.43900000000002</v>
      </c>
      <c r="I21" s="3">
        <v>469.02</v>
      </c>
      <c r="J21" s="3">
        <v>469.81599999999997</v>
      </c>
      <c r="K21" s="3">
        <v>469.74900000000002</v>
      </c>
      <c r="L21" s="3">
        <v>469.91399999999999</v>
      </c>
      <c r="M21" s="3">
        <v>470.53899999999999</v>
      </c>
      <c r="P21">
        <f t="shared" si="0"/>
        <v>463.67816666666658</v>
      </c>
      <c r="Q21">
        <v>240.00716666666662</v>
      </c>
      <c r="R21">
        <f t="shared" si="1"/>
        <v>223.67099999999996</v>
      </c>
    </row>
    <row r="22" spans="1:18" x14ac:dyDescent="0.55000000000000004">
      <c r="A22" s="2">
        <v>2017</v>
      </c>
      <c r="B22" s="3">
        <v>471.48399999999998</v>
      </c>
      <c r="C22" s="3">
        <v>473.13900000000001</v>
      </c>
      <c r="D22" s="3">
        <v>473.685</v>
      </c>
      <c r="E22" s="3">
        <v>473.00700000000001</v>
      </c>
      <c r="F22" s="3">
        <v>472.98099999999999</v>
      </c>
      <c r="G22" s="3">
        <v>474.49200000000002</v>
      </c>
      <c r="H22" s="3">
        <v>476.279</v>
      </c>
      <c r="I22" s="3">
        <v>477.19900000000001</v>
      </c>
      <c r="J22" s="3">
        <v>477.19</v>
      </c>
      <c r="K22" s="3">
        <v>477.67099999999999</v>
      </c>
      <c r="L22" s="3">
        <v>477.791</v>
      </c>
      <c r="M22" s="3">
        <v>478.89100000000002</v>
      </c>
      <c r="P22">
        <f t="shared" si="0"/>
        <v>475.3174166666667</v>
      </c>
      <c r="Q22">
        <v>245.11958333333334</v>
      </c>
      <c r="R22">
        <f t="shared" si="1"/>
        <v>230.19783333333336</v>
      </c>
    </row>
    <row r="23" spans="1:18" x14ac:dyDescent="0.55000000000000004">
      <c r="A23" s="2">
        <v>2018</v>
      </c>
      <c r="B23" s="3">
        <v>480.79700000000003</v>
      </c>
      <c r="C23" s="3">
        <v>481.6</v>
      </c>
      <c r="D23" s="3">
        <v>483.07799999999997</v>
      </c>
      <c r="E23" s="3">
        <v>483.577</v>
      </c>
      <c r="F23" s="3">
        <v>484.54300000000001</v>
      </c>
      <c r="G23" s="3">
        <v>486.209</v>
      </c>
      <c r="H23" s="3">
        <v>485.24599999999998</v>
      </c>
      <c r="I23" s="3">
        <v>484.27300000000002</v>
      </c>
      <c r="J23" s="3">
        <v>485.03899999999999</v>
      </c>
      <c r="K23" s="3">
        <v>485.65199999999999</v>
      </c>
      <c r="L23" s="3">
        <v>487.61500000000001</v>
      </c>
      <c r="M23" s="3">
        <v>488.82</v>
      </c>
      <c r="P23">
        <f t="shared" si="0"/>
        <v>484.7040833333333</v>
      </c>
      <c r="Q23">
        <v>251.10683333333338</v>
      </c>
      <c r="R23">
        <f t="shared" si="1"/>
        <v>233.59724999999992</v>
      </c>
    </row>
    <row r="24" spans="1:18" x14ac:dyDescent="0.55000000000000004">
      <c r="A24" s="2">
        <v>2019</v>
      </c>
      <c r="B24" s="3">
        <v>489.96800000000002</v>
      </c>
      <c r="C24" s="3">
        <v>490.16</v>
      </c>
      <c r="D24" s="3">
        <v>491.41199999999998</v>
      </c>
      <c r="E24" s="3">
        <v>492.97</v>
      </c>
      <c r="F24" s="3">
        <v>494.85899999999998</v>
      </c>
      <c r="G24" s="3">
        <v>495.745</v>
      </c>
      <c r="H24" s="3">
        <v>497.714</v>
      </c>
      <c r="I24" s="3">
        <v>500.66199999999998</v>
      </c>
      <c r="J24" s="3">
        <v>501.71</v>
      </c>
      <c r="K24" s="3">
        <v>506.43299999999999</v>
      </c>
      <c r="L24" s="3">
        <v>508.315</v>
      </c>
      <c r="M24" s="3">
        <v>510.875</v>
      </c>
      <c r="P24">
        <f t="shared" si="0"/>
        <v>498.40191666666664</v>
      </c>
      <c r="Q24">
        <v>255.65741666666668</v>
      </c>
      <c r="R24">
        <f t="shared" si="1"/>
        <v>242.74449999999996</v>
      </c>
    </row>
    <row r="25" spans="1:18" x14ac:dyDescent="0.55000000000000004">
      <c r="A25" s="2">
        <v>2020</v>
      </c>
      <c r="B25" s="3">
        <v>511.85399999999998</v>
      </c>
      <c r="C25" s="3">
        <v>512.96699999999998</v>
      </c>
      <c r="D25" s="3">
        <v>514.74300000000005</v>
      </c>
      <c r="E25" s="3">
        <v>516.77</v>
      </c>
      <c r="F25" s="3">
        <v>519.15200000000004</v>
      </c>
      <c r="G25" s="3">
        <v>520.86699999999996</v>
      </c>
      <c r="H25" s="3">
        <v>522.67499999999995</v>
      </c>
      <c r="I25" s="3">
        <v>522.92200000000003</v>
      </c>
      <c r="J25" s="3">
        <v>522.947</v>
      </c>
      <c r="K25" s="3">
        <v>520.94299999999998</v>
      </c>
      <c r="L25" s="3">
        <v>520.56700000000001</v>
      </c>
      <c r="M25" s="3">
        <v>519.86599999999999</v>
      </c>
      <c r="P25">
        <f t="shared" si="0"/>
        <v>518.85608333333346</v>
      </c>
      <c r="Q25">
        <v>258.81116666666668</v>
      </c>
      <c r="R25">
        <f t="shared" si="1"/>
        <v>260.04491666666678</v>
      </c>
    </row>
    <row r="26" spans="1:18" x14ac:dyDescent="0.55000000000000004">
      <c r="A26" s="2">
        <v>2021</v>
      </c>
      <c r="B26" s="3">
        <v>521.83199999999999</v>
      </c>
      <c r="C26" s="3">
        <v>523.67499999999995</v>
      </c>
      <c r="D26" s="3">
        <v>524.024</v>
      </c>
      <c r="E26" s="3">
        <v>524.46500000000003</v>
      </c>
      <c r="F26" s="3">
        <v>523.97</v>
      </c>
      <c r="G26" s="3">
        <v>523.09900000000005</v>
      </c>
      <c r="H26" s="3">
        <v>524.30700000000002</v>
      </c>
      <c r="I26" s="3">
        <v>524.69299999999998</v>
      </c>
      <c r="J26" s="3">
        <v>524.87400000000002</v>
      </c>
      <c r="K26" s="3">
        <v>527.649</v>
      </c>
      <c r="L26" s="3">
        <v>529.54200000000003</v>
      </c>
      <c r="M26" s="3">
        <v>531.04499999999996</v>
      </c>
      <c r="P26">
        <f t="shared" si="0"/>
        <v>525.26458333333346</v>
      </c>
      <c r="Q26">
        <v>270.96975000000003</v>
      </c>
      <c r="R26">
        <f t="shared" si="1"/>
        <v>254.29483333333343</v>
      </c>
    </row>
    <row r="27" spans="1:18" x14ac:dyDescent="0.55000000000000004">
      <c r="A27" s="2">
        <v>2022</v>
      </c>
      <c r="B27" s="3">
        <v>534.69500000000005</v>
      </c>
      <c r="C27" s="3">
        <v>536.58299999999997</v>
      </c>
      <c r="D27" s="3">
        <v>539.04999999999995</v>
      </c>
      <c r="E27" s="3">
        <v>541.37599999999998</v>
      </c>
      <c r="F27" s="3">
        <v>543.54399999999998</v>
      </c>
      <c r="G27" s="3">
        <v>546.74099999999999</v>
      </c>
      <c r="H27" s="3">
        <v>549.846</v>
      </c>
      <c r="I27" s="3">
        <v>552.90200000000004</v>
      </c>
      <c r="J27" s="3">
        <v>556.30899999999997</v>
      </c>
      <c r="K27" s="3">
        <v>554.06500000000005</v>
      </c>
      <c r="L27" s="3">
        <v>551.49800000000005</v>
      </c>
      <c r="M27" s="3">
        <v>552.00199999999995</v>
      </c>
      <c r="P27">
        <f t="shared" si="0"/>
        <v>546.55091666666658</v>
      </c>
      <c r="Q27">
        <v>292.65491666666668</v>
      </c>
      <c r="R27">
        <f t="shared" si="1"/>
        <v>253.8959999999999</v>
      </c>
    </row>
    <row r="28" spans="1:18" x14ac:dyDescent="0.55000000000000004">
      <c r="A28" s="2">
        <v>2023</v>
      </c>
      <c r="B28" s="3">
        <v>550.99199999999996</v>
      </c>
      <c r="C28" s="3">
        <v>549.31299999999999</v>
      </c>
      <c r="D28" s="3">
        <v>547.13800000000003</v>
      </c>
      <c r="E28" s="3">
        <v>546.99</v>
      </c>
      <c r="F28" s="3">
        <v>547.44600000000003</v>
      </c>
      <c r="G28" s="3">
        <v>547.29899999999998</v>
      </c>
      <c r="H28" s="3">
        <v>547.14099999999996</v>
      </c>
      <c r="I28" s="3">
        <v>547.68700000000001</v>
      </c>
      <c r="J28" s="3">
        <v>548.39800000000002</v>
      </c>
      <c r="K28" s="3">
        <v>549.79300000000001</v>
      </c>
      <c r="L28" s="3">
        <v>552.41999999999996</v>
      </c>
      <c r="M28" s="3">
        <v>554.40599999999995</v>
      </c>
      <c r="P28">
        <f t="shared" si="0"/>
        <v>549.08524999999997</v>
      </c>
      <c r="Q28">
        <v>304.7015833333333</v>
      </c>
      <c r="R28">
        <f t="shared" si="1"/>
        <v>244.38366666666667</v>
      </c>
    </row>
    <row r="29" spans="1:18" x14ac:dyDescent="0.55000000000000004">
      <c r="A29" s="2">
        <v>2024</v>
      </c>
      <c r="B29" s="3">
        <v>556.74099999999999</v>
      </c>
      <c r="C29" s="3">
        <v>557.16300000000001</v>
      </c>
      <c r="D29" s="3">
        <v>559.26900000000001</v>
      </c>
      <c r="E29" s="3">
        <v>561.27499999999998</v>
      </c>
      <c r="F29" s="3">
        <v>564.19100000000003</v>
      </c>
      <c r="G29" s="3">
        <v>564.99699999999996</v>
      </c>
      <c r="H29" s="3">
        <v>564.59299999999996</v>
      </c>
      <c r="I29" s="3">
        <v>564.18299999999999</v>
      </c>
      <c r="J29" s="3">
        <v>566.25599999999997</v>
      </c>
      <c r="K29" s="3">
        <v>567.97400000000005</v>
      </c>
      <c r="L29" s="3">
        <v>569.476</v>
      </c>
      <c r="M29" s="3">
        <v>570.11</v>
      </c>
      <c r="P29">
        <f t="shared" si="0"/>
        <v>563.85233333333338</v>
      </c>
      <c r="Q29">
        <v>313.68883333333332</v>
      </c>
      <c r="R29">
        <f t="shared" si="1"/>
        <v>250.16350000000006</v>
      </c>
    </row>
    <row r="30" spans="1:18" x14ac:dyDescent="0.55000000000000004">
      <c r="A30" s="2">
        <v>2025</v>
      </c>
      <c r="B30" s="3">
        <v>571.36599999999999</v>
      </c>
      <c r="C30" s="3">
        <v>573.28399999999999</v>
      </c>
      <c r="D30" s="3">
        <v>574.06899999999996</v>
      </c>
      <c r="E30" s="3">
        <v>576.548</v>
      </c>
      <c r="F30" s="3">
        <v>578.07299999999998</v>
      </c>
      <c r="G30" s="3">
        <v>580.52700000000004</v>
      </c>
      <c r="H30" s="3">
        <v>584.45000000000005</v>
      </c>
      <c r="I30" s="3">
        <v>583.80899999999997</v>
      </c>
      <c r="J30" s="3">
        <v>584.87199999999996</v>
      </c>
      <c r="K30" t="s">
        <v>30</v>
      </c>
      <c r="L30" s="3">
        <v>585.98699999999997</v>
      </c>
      <c r="M30" s="3">
        <v>588.09199999999998</v>
      </c>
      <c r="P30">
        <f t="shared" si="0"/>
        <v>580.09790909090907</v>
      </c>
      <c r="Q30">
        <v>321.94299999999998</v>
      </c>
      <c r="R30">
        <f t="shared" si="1"/>
        <v>258.15490909090909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February 17, 2026 (06:07:44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Aleksei Shilov</cp:lastModifiedBy>
  <dcterms:created xsi:type="dcterms:W3CDTF">2026-02-17T23:07:44Z</dcterms:created>
  <dcterms:modified xsi:type="dcterms:W3CDTF">2026-02-17T23:14:41Z</dcterms:modified>
</cp:coreProperties>
</file>